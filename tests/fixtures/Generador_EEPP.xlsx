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taschoolsuk-my.sharepoint.com/personal/felipe_horta_cognita_com/Documents/Escritorio/Cognita/Proyectos_Obras en Ejecucion/2020/Bill/"/>
    </mc:Choice>
  </mc:AlternateContent>
  <xr:revisionPtr revIDLastSave="266" documentId="8_{E8AC8231-7630-394C-8153-D18ED6D413DC}" xr6:coauthVersionLast="47" xr6:coauthVersionMax="47" xr10:uidLastSave="{CF6F021E-7D21-1A46-BF16-F7EBC6B764F2}"/>
  <bookViews>
    <workbookView xWindow="-83320" yWindow="-3320" windowWidth="27640" windowHeight="16680" xr2:uid="{44A33F9F-C129-3C41-947D-EB75048670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0" i="1" l="1"/>
  <c r="G171" i="1" s="1"/>
  <c r="G173" i="1" s="1"/>
  <c r="G152" i="1"/>
  <c r="G142" i="1"/>
  <c r="G143" i="1"/>
  <c r="G141" i="1"/>
  <c r="G122" i="1"/>
  <c r="G133" i="1"/>
  <c r="G103" i="1"/>
  <c r="G114" i="1" s="1"/>
  <c r="G83" i="1"/>
  <c r="G84" i="1"/>
  <c r="J84" i="1"/>
  <c r="J85" i="1" s="1"/>
  <c r="G94" i="1"/>
  <c r="I85" i="1" s="1"/>
  <c r="G64" i="1"/>
  <c r="G63" i="1"/>
  <c r="G74" i="1"/>
  <c r="I74" i="1" s="1"/>
  <c r="I63" i="1"/>
  <c r="G44" i="1"/>
  <c r="I44" i="1"/>
  <c r="G55" i="1"/>
  <c r="I43" i="1"/>
  <c r="G25" i="1"/>
  <c r="M26" i="1"/>
  <c r="K27" i="1"/>
  <c r="K26" i="1"/>
  <c r="K25" i="1"/>
  <c r="G36" i="1"/>
  <c r="G37" i="1" s="1"/>
  <c r="G38" i="1" s="1"/>
  <c r="G5" i="1"/>
  <c r="G16" i="1" s="1"/>
  <c r="G18" i="1" s="1"/>
  <c r="I152" i="1" l="1"/>
  <c r="G153" i="1"/>
  <c r="G154" i="1" s="1"/>
  <c r="G134" i="1"/>
  <c r="G135" i="1" s="1"/>
  <c r="G115" i="1"/>
  <c r="G116" i="1" s="1"/>
  <c r="I94" i="1"/>
  <c r="G95" i="1"/>
  <c r="G96" i="1" s="1"/>
  <c r="G75" i="1"/>
  <c r="G76" i="1" s="1"/>
  <c r="I64" i="1" s="1"/>
  <c r="G56" i="1"/>
  <c r="G57" i="1" s="1"/>
</calcChain>
</file>

<file path=xl/sharedStrings.xml><?xml version="1.0" encoding="utf-8"?>
<sst xmlns="http://schemas.openxmlformats.org/spreadsheetml/2006/main" count="170" uniqueCount="49">
  <si>
    <t>Factura a 30 días, con vencimiento para el  </t>
  </si>
  <si>
    <t>DESCRIPCIÓN ( GLOSA FACTURA )</t>
  </si>
  <si>
    <t>VALOR [CLP]</t>
  </si>
  <si>
    <t>CONSTRUCCIÓN - Habilitación Sala Cuna - Permiso Obra Menor - Revisor Independiente Arquitectura [PROJECT CODE # ABSLTD26401] - EP 1 (0.6)</t>
  </si>
  <si>
    <t>Vendor</t>
  </si>
  <si>
    <t>#</t>
  </si>
  <si>
    <t>V039183</t>
  </si>
  <si>
    <t>Purchase Order</t>
  </si>
  <si>
    <t>POABS(Nat)002654</t>
  </si>
  <si>
    <t>Project Code</t>
  </si>
  <si>
    <t>ABSLTD26401</t>
  </si>
  <si>
    <t>Reference</t>
  </si>
  <si>
    <t>IR414195</t>
  </si>
  <si>
    <t>MONTO NETO</t>
  </si>
  <si>
    <t>IVA</t>
  </si>
  <si>
    <t>TOTAL</t>
  </si>
  <si>
    <t>V023047</t>
  </si>
  <si>
    <t>POTEM-003464</t>
  </si>
  <si>
    <t>TEMUN25402</t>
  </si>
  <si>
    <t>IR415503</t>
  </si>
  <si>
    <t>CONSTRUCCIÓN - Construcción Edificio Salas de Clases (Etapa II) - EJECUCION MEDIDAS DE MITIGACION (MM) IMIV, según Resolución Exenta N° 269/2024 SRM-ARAUC, obras civiles correspondientes a MM N°1 a N°32, más MM N°37 y N°38 [PROJECT CODE #TEMUN25402] - EP_Anticipo (0.11)</t>
  </si>
  <si>
    <t>POCHI-002415</t>
  </si>
  <si>
    <t>V024553</t>
  </si>
  <si>
    <t>CHCRN25401</t>
  </si>
  <si>
    <t>CONSTRUCCIÓN - Obras de Mitigación Cierre EISTU - Desarrollo de Proyectos de Ingeniería en Detalle - UF 570 neto valor día UF 38.542,38 al 21-02-2025 [PROJECT CODE #CHCRN25401] - Tratamiento de Espacios Públicos	38,542.38 - EP_8 (0.1)</t>
  </si>
  <si>
    <t>IR415509</t>
  </si>
  <si>
    <t>CONSTRUCCIÓN - Ampliación Edificio Administración - Mobiliario Recepción [PROJECT CODE # HUECN26501] - Cajonera móvil 420x500x650 cms - EP_2 (0.4)</t>
  </si>
  <si>
    <t>CONSTRUCCIÓN - Ampliación Edificio Administración - Mobiliario Recepción [PROJECT CODE # HUECN26501] - Mueble a medida para recepción con 2 puestos de trabajo y accesibilidad universal - EP_2 (0.7)</t>
  </si>
  <si>
    <t>HUECN26501</t>
  </si>
  <si>
    <t>IR415741</t>
  </si>
  <si>
    <t>V05004</t>
  </si>
  <si>
    <t>POHUE-002729</t>
  </si>
  <si>
    <t>CONSTRUCCIÓN - Habilitación Sala Cuna - Equipos de Climatización [PROJECT CODE #VLCAMP26401] Provisión Equipo Innova 2.0 - EP_1 (0.7)</t>
  </si>
  <si>
    <t>CONSTRUCCIÓN - Habilitación Sala Cuna - Equipos de Climatización [PROJECT CODE #VLCAMP26401] Instalación Equipo Innova 2.0 - EP_1 (1)</t>
  </si>
  <si>
    <t>CONSTRUCCIÓN - Habilitación Sala Cuna - Proyecto Corrientes Debiles [PROJECT CODE #VLCAMP26401] - EEPP_01 (0.3)</t>
  </si>
  <si>
    <t>V038968</t>
  </si>
  <si>
    <t>POVLC-002847</t>
  </si>
  <si>
    <t>VLCAMP26401</t>
  </si>
  <si>
    <t>POTGS-002318</t>
  </si>
  <si>
    <t>V037491</t>
  </si>
  <si>
    <t>CONSTRUCCIÓN - Edificio de Salas de Clases / Revisión Independiente de Arquitectura [PROJECT CODE #TGSHSA23401] - Recepción - EEPP_01</t>
  </si>
  <si>
    <t>TGSHSA23401]</t>
  </si>
  <si>
    <t>CONSTRUCCIÓN - Habilitación Sala Cuna - Mobiliario Recepción [PROJECT CODE #VLCAMP26401]- Modulo de Recepción Curvo Especial // ø4300x110h - EP_2 (0.5)</t>
  </si>
  <si>
    <t>CONSTRUCCIÓN - Habilitación Sala Cuna - Mobiliario Recepción [PROJECT CODE #VLCAMP26401]- Cajonera Móvil 2C1K 420x500x650h K500 INTEGRALE ST - EP_2 (0.5)</t>
  </si>
  <si>
    <t>CONSTRUCCIÓN - Habilitación Sala Cuna - Mobiliario Recepción [PROJECT CODE #VLCAMP26401]- Silla estructura color blanco, respaldo tapizado en malla color gris - EP_2 (0.5)</t>
  </si>
  <si>
    <t>IR416121</t>
  </si>
  <si>
    <t>POVLC-002807</t>
  </si>
  <si>
    <t>CONSTRUCCIÓN - Habilitación Sala Cuna - Revisor Independiente de Arquitectura [PROJECT CODE #VLCAMP26401] - EP 1 (0.6)</t>
  </si>
  <si>
    <t>POVLC-002849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</si>
</sst>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#,##0.0"/>
    <numFmt numFmtId="166" formatCode="0.00000000000"/>
  </numFmts>
  <fonts count="5">
    <font>
      <sz val="12"/>
      <color theme="1"/>
      <name val="Aptos Narrow"/>
      <family val="2"/>
      <scheme val="minor"/>
    </font>
    <font>
      <sz val="12"/>
      <color rgb="FF000000"/>
      <name val="Aptos"/>
    </font>
    <font>
      <b/>
      <sz val="12"/>
      <color rgb="FF000000"/>
      <name val="Aptos"/>
    </font>
    <font>
      <sz val="10"/>
      <color rgb="FF000000"/>
      <name val="Courier"/>
    </font>
    <font>
      <sz val="13"/>
      <color rgb="FF333333"/>
      <name val="Helvetica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3" fontId="0" fillId="0" borderId="7" xfId="0" applyNumberForma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3" fontId="1" fillId="0" borderId="7" xfId="0" applyNumberFormat="1" applyFont="1" applyBorder="1" applyAlignment="1">
      <alignment vertical="center"/>
    </xf>
    <xf numFmtId="9" fontId="1" fillId="0" borderId="0" xfId="0" applyNumberFormat="1" applyFont="1" applyAlignment="1">
      <alignment vertical="center"/>
    </xf>
    <xf numFmtId="3" fontId="1" fillId="0" borderId="9" xfId="0" applyNumberFormat="1" applyFont="1" applyBorder="1" applyAlignment="1">
      <alignment vertical="center"/>
    </xf>
    <xf numFmtId="3" fontId="1" fillId="0" borderId="12" xfId="0" applyNumberFormat="1" applyFont="1" applyBorder="1" applyAlignment="1">
      <alignment vertical="center"/>
    </xf>
    <xf numFmtId="0" fontId="3" fillId="0" borderId="0" xfId="0" applyFont="1"/>
    <xf numFmtId="3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4" fillId="0" borderId="0" xfId="0" applyFont="1"/>
    <xf numFmtId="3" fontId="0" fillId="0" borderId="9" xfId="0" applyNumberFormat="1" applyBorder="1" applyAlignment="1">
      <alignment vertical="center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5381-81E3-DE4B-8871-59029A39F6CB}">
  <dimension ref="B2:M173"/>
  <sheetViews>
    <sheetView showGridLines="0" tabSelected="1" topLeftCell="A150" zoomScale="110" zoomScaleNormal="110" workbookViewId="0">
      <selection activeCell="B157" sqref="B157:G173"/>
    </sheetView>
  </sheetViews>
  <sheetFormatPr baseColWidth="10" defaultRowHeight="16"/>
  <cols>
    <col min="1" max="1" width="10.83203125" style="2"/>
    <col min="2" max="2" width="59.33203125" style="2" customWidth="1"/>
    <col min="3" max="6" width="10.83203125" style="2"/>
    <col min="7" max="7" width="16.83203125" style="2" bestFit="1" customWidth="1"/>
    <col min="8" max="8" width="10.83203125" style="2"/>
    <col min="9" max="9" width="11.83203125" style="2" bestFit="1" customWidth="1"/>
    <col min="10" max="10" width="14.33203125" style="2" bestFit="1" customWidth="1"/>
    <col min="11" max="11" width="11.83203125" style="2" bestFit="1" customWidth="1"/>
    <col min="12" max="16384" width="10.83203125" style="2"/>
  </cols>
  <sheetData>
    <row r="2" spans="2:9">
      <c r="B2" s="1" t="s">
        <v>0</v>
      </c>
    </row>
    <row r="3" spans="2:9">
      <c r="B3" s="1"/>
      <c r="C3" s="1"/>
      <c r="D3" s="1"/>
      <c r="E3" s="1"/>
      <c r="F3" s="1"/>
      <c r="G3" s="1"/>
    </row>
    <row r="4" spans="2:9">
      <c r="B4" s="3" t="s">
        <v>1</v>
      </c>
      <c r="C4" s="4"/>
      <c r="D4" s="4"/>
      <c r="E4" s="5" t="s">
        <v>2</v>
      </c>
      <c r="F4" s="6"/>
      <c r="G4" s="7"/>
    </row>
    <row r="5" spans="2:9" ht="35" customHeight="1">
      <c r="B5" s="31" t="s">
        <v>3</v>
      </c>
      <c r="C5" s="32"/>
      <c r="D5" s="32"/>
      <c r="E5" s="32"/>
      <c r="F5" s="33"/>
      <c r="G5" s="8">
        <f>I5*0.6</f>
        <v>2450687.4</v>
      </c>
      <c r="I5" s="17">
        <v>4084479</v>
      </c>
    </row>
    <row r="6" spans="2:9">
      <c r="B6" s="9"/>
      <c r="C6" s="1"/>
      <c r="G6" s="10"/>
    </row>
    <row r="7" spans="2:9">
      <c r="B7" s="9"/>
      <c r="C7" s="1"/>
      <c r="D7" s="1"/>
      <c r="E7" s="1"/>
      <c r="F7" s="1"/>
      <c r="G7" s="11"/>
    </row>
    <row r="8" spans="2:9">
      <c r="B8" s="9"/>
      <c r="C8" s="1"/>
      <c r="D8" s="1"/>
      <c r="E8" s="1"/>
      <c r="F8" s="1"/>
      <c r="G8" s="11"/>
    </row>
    <row r="9" spans="2:9">
      <c r="B9" s="9"/>
      <c r="C9" s="1"/>
      <c r="D9" s="1"/>
      <c r="E9" s="1"/>
      <c r="F9" s="1"/>
      <c r="G9" s="11"/>
    </row>
    <row r="10" spans="2:9">
      <c r="B10" s="9"/>
      <c r="C10" s="1"/>
      <c r="D10" s="1"/>
      <c r="E10" s="1"/>
      <c r="F10" s="1"/>
      <c r="G10" s="11"/>
    </row>
    <row r="11" spans="2:9">
      <c r="B11" s="9"/>
      <c r="C11" s="1" t="s">
        <v>4</v>
      </c>
      <c r="D11" s="1" t="s">
        <v>5</v>
      </c>
      <c r="E11" s="1" t="s">
        <v>6</v>
      </c>
      <c r="F11" s="1"/>
      <c r="G11" s="11"/>
    </row>
    <row r="12" spans="2:9">
      <c r="B12" s="9"/>
      <c r="C12" s="1" t="s">
        <v>7</v>
      </c>
      <c r="D12" s="1" t="s">
        <v>5</v>
      </c>
      <c r="E12" s="1" t="s">
        <v>8</v>
      </c>
      <c r="F12" s="1"/>
      <c r="G12" s="11"/>
    </row>
    <row r="13" spans="2:9">
      <c r="B13" s="9"/>
      <c r="C13" s="1" t="s">
        <v>9</v>
      </c>
      <c r="D13" s="1" t="s">
        <v>5</v>
      </c>
      <c r="E13" s="1" t="s">
        <v>10</v>
      </c>
      <c r="F13" s="1"/>
      <c r="G13" s="11"/>
    </row>
    <row r="14" spans="2:9">
      <c r="B14" s="9"/>
      <c r="C14" s="1" t="s">
        <v>11</v>
      </c>
      <c r="D14" s="1" t="s">
        <v>5</v>
      </c>
      <c r="E14" s="1" t="s">
        <v>12</v>
      </c>
      <c r="F14" s="1"/>
      <c r="G14" s="11"/>
    </row>
    <row r="15" spans="2:9">
      <c r="B15" s="12"/>
      <c r="C15" s="13"/>
      <c r="D15" s="13"/>
      <c r="E15" s="13"/>
      <c r="F15" s="13"/>
      <c r="G15" s="14"/>
    </row>
    <row r="16" spans="2:9">
      <c r="B16" s="15"/>
      <c r="C16" s="16"/>
      <c r="D16" s="16"/>
      <c r="E16" s="16" t="s">
        <v>13</v>
      </c>
      <c r="F16" s="16"/>
      <c r="G16" s="17">
        <f>SUM(G5:G15)</f>
        <v>2450687.4</v>
      </c>
    </row>
    <row r="17" spans="2:13">
      <c r="B17" s="9"/>
      <c r="C17" s="18">
        <v>0.19</v>
      </c>
      <c r="D17" s="1"/>
      <c r="E17" s="1" t="s">
        <v>14</v>
      </c>
      <c r="F17" s="1"/>
      <c r="G17" s="19"/>
    </row>
    <row r="18" spans="2:13">
      <c r="B18" s="12"/>
      <c r="C18" s="13"/>
      <c r="D18" s="13"/>
      <c r="E18" s="13" t="s">
        <v>15</v>
      </c>
      <c r="F18" s="13"/>
      <c r="G18" s="20">
        <f>SUM(G16:G17)</f>
        <v>2450687.4</v>
      </c>
    </row>
    <row r="22" spans="2:13">
      <c r="B22" s="1" t="s">
        <v>0</v>
      </c>
    </row>
    <row r="23" spans="2:13">
      <c r="B23" s="1"/>
      <c r="C23" s="1"/>
      <c r="D23" s="1"/>
      <c r="E23" s="1"/>
      <c r="F23" s="1"/>
      <c r="G23" s="1"/>
    </row>
    <row r="24" spans="2:13">
      <c r="B24" s="3" t="s">
        <v>1</v>
      </c>
      <c r="C24" s="4"/>
      <c r="D24" s="4"/>
      <c r="E24" s="5" t="s">
        <v>2</v>
      </c>
      <c r="F24" s="6"/>
      <c r="G24" s="7"/>
    </row>
    <row r="25" spans="2:13" ht="75" customHeight="1">
      <c r="B25" s="31" t="s">
        <v>20</v>
      </c>
      <c r="C25" s="32"/>
      <c r="D25" s="32"/>
      <c r="E25" s="32"/>
      <c r="F25" s="33"/>
      <c r="G25" s="8">
        <f>I25*(0.1)</f>
        <v>22828309</v>
      </c>
      <c r="I25" s="17">
        <v>228283090</v>
      </c>
      <c r="K25" s="17">
        <f>I25*95%</f>
        <v>216868935.5</v>
      </c>
      <c r="M25" s="22">
        <v>22828309</v>
      </c>
    </row>
    <row r="26" spans="2:13">
      <c r="B26" s="9"/>
      <c r="C26" s="1"/>
      <c r="G26" s="10"/>
      <c r="K26" s="17">
        <f>I25*5%</f>
        <v>11414154.5</v>
      </c>
      <c r="M26" s="2">
        <f>M25/K25</f>
        <v>0.10526315789473684</v>
      </c>
    </row>
    <row r="27" spans="2:13">
      <c r="B27" s="9"/>
      <c r="C27" s="1"/>
      <c r="D27" s="1"/>
      <c r="E27" s="1"/>
      <c r="F27" s="1"/>
      <c r="G27" s="11"/>
      <c r="K27" s="22">
        <f>SUM(K25:K26)</f>
        <v>228283090</v>
      </c>
    </row>
    <row r="28" spans="2:13">
      <c r="B28" s="9"/>
      <c r="C28" s="1"/>
      <c r="D28" s="1"/>
      <c r="E28" s="1"/>
      <c r="F28" s="1"/>
      <c r="G28" s="11"/>
      <c r="I28" s="21">
        <v>678.45</v>
      </c>
    </row>
    <row r="29" spans="2:13">
      <c r="B29" s="9"/>
      <c r="C29" s="1"/>
      <c r="D29" s="1"/>
      <c r="E29" s="1"/>
      <c r="F29" s="1"/>
      <c r="G29" s="11"/>
    </row>
    <row r="30" spans="2:13">
      <c r="B30" s="9"/>
      <c r="C30" s="1"/>
      <c r="D30" s="1"/>
      <c r="E30" s="1"/>
      <c r="F30" s="1"/>
      <c r="G30" s="11"/>
    </row>
    <row r="31" spans="2:13">
      <c r="B31" s="9"/>
      <c r="C31" s="1" t="s">
        <v>4</v>
      </c>
      <c r="D31" s="1" t="s">
        <v>5</v>
      </c>
      <c r="E31" s="1" t="s">
        <v>16</v>
      </c>
      <c r="F31" s="1"/>
      <c r="G31" s="11"/>
    </row>
    <row r="32" spans="2:13">
      <c r="B32" s="9"/>
      <c r="C32" s="1" t="s">
        <v>7</v>
      </c>
      <c r="D32" s="1" t="s">
        <v>5</v>
      </c>
      <c r="E32" s="1" t="s">
        <v>17</v>
      </c>
      <c r="F32" s="1"/>
      <c r="G32" s="11"/>
    </row>
    <row r="33" spans="2:10">
      <c r="B33" s="9"/>
      <c r="C33" s="1" t="s">
        <v>9</v>
      </c>
      <c r="D33" s="1" t="s">
        <v>5</v>
      </c>
      <c r="E33" s="1" t="s">
        <v>18</v>
      </c>
      <c r="F33" s="1"/>
      <c r="G33" s="11"/>
    </row>
    <row r="34" spans="2:10">
      <c r="B34" s="9"/>
      <c r="C34" s="1" t="s">
        <v>11</v>
      </c>
      <c r="D34" s="1" t="s">
        <v>5</v>
      </c>
      <c r="E34" s="1" t="s">
        <v>19</v>
      </c>
      <c r="F34" s="1"/>
      <c r="G34" s="11"/>
    </row>
    <row r="35" spans="2:10">
      <c r="B35" s="12"/>
      <c r="C35" s="13"/>
      <c r="D35" s="13"/>
      <c r="E35" s="13"/>
      <c r="F35" s="13"/>
      <c r="G35" s="14"/>
    </row>
    <row r="36" spans="2:10">
      <c r="B36" s="15"/>
      <c r="C36" s="16"/>
      <c r="D36" s="16"/>
      <c r="E36" s="16" t="s">
        <v>13</v>
      </c>
      <c r="F36" s="16"/>
      <c r="G36" s="17">
        <f>SUM(G25:G35)</f>
        <v>22828309</v>
      </c>
    </row>
    <row r="37" spans="2:10">
      <c r="B37" s="9"/>
      <c r="C37" s="18">
        <v>0.19</v>
      </c>
      <c r="D37" s="1"/>
      <c r="E37" s="1" t="s">
        <v>14</v>
      </c>
      <c r="F37" s="1"/>
      <c r="G37" s="19">
        <f>G36*C37</f>
        <v>4337378.71</v>
      </c>
    </row>
    <row r="38" spans="2:10">
      <c r="B38" s="12"/>
      <c r="C38" s="13"/>
      <c r="D38" s="13"/>
      <c r="E38" s="13" t="s">
        <v>15</v>
      </c>
      <c r="F38" s="13"/>
      <c r="G38" s="20">
        <f>SUM(G36:G37)</f>
        <v>27165687.710000001</v>
      </c>
    </row>
    <row r="41" spans="2:10">
      <c r="B41" s="1" t="s">
        <v>0</v>
      </c>
    </row>
    <row r="42" spans="2:10">
      <c r="B42" s="1"/>
      <c r="C42" s="1"/>
      <c r="D42" s="1"/>
      <c r="E42" s="1"/>
      <c r="F42" s="1"/>
      <c r="G42" s="1"/>
      <c r="I42" s="19">
        <v>6879815</v>
      </c>
    </row>
    <row r="43" spans="2:10">
      <c r="B43" s="3" t="s">
        <v>1</v>
      </c>
      <c r="C43" s="4"/>
      <c r="D43" s="4"/>
      <c r="E43" s="5" t="s">
        <v>2</v>
      </c>
      <c r="F43" s="6"/>
      <c r="G43" s="7"/>
      <c r="I43" s="19">
        <f>I42/1.19</f>
        <v>5781357.1428571427</v>
      </c>
    </row>
    <row r="44" spans="2:10" ht="46" customHeight="1">
      <c r="B44" s="31" t="s">
        <v>24</v>
      </c>
      <c r="C44" s="32"/>
      <c r="D44" s="32"/>
      <c r="E44" s="32"/>
      <c r="F44" s="33"/>
      <c r="G44" s="8">
        <f>I43*0.1</f>
        <v>578135.71428571432</v>
      </c>
      <c r="I44" s="2">
        <f>I43/J44</f>
        <v>9.9999950580090893</v>
      </c>
      <c r="J44" s="19">
        <v>578136</v>
      </c>
    </row>
    <row r="45" spans="2:10">
      <c r="B45" s="9"/>
      <c r="C45" s="1"/>
      <c r="G45" s="10"/>
    </row>
    <row r="46" spans="2:10">
      <c r="B46" s="9"/>
      <c r="C46" s="1"/>
      <c r="D46" s="1"/>
      <c r="E46" s="1"/>
      <c r="F46" s="1"/>
      <c r="G46" s="11"/>
    </row>
    <row r="47" spans="2:10">
      <c r="B47" s="9"/>
      <c r="C47" s="1"/>
      <c r="D47" s="1"/>
      <c r="E47" s="1"/>
      <c r="F47" s="1"/>
      <c r="G47" s="11"/>
    </row>
    <row r="48" spans="2:10">
      <c r="B48" s="9"/>
      <c r="C48" s="1"/>
      <c r="D48" s="1"/>
      <c r="E48" s="1"/>
      <c r="F48" s="1"/>
      <c r="G48" s="11"/>
    </row>
    <row r="49" spans="2:9">
      <c r="B49" s="9"/>
      <c r="C49" s="1"/>
      <c r="D49" s="1"/>
      <c r="E49" s="1"/>
      <c r="F49" s="1"/>
      <c r="G49" s="11"/>
    </row>
    <row r="50" spans="2:9">
      <c r="B50" s="9"/>
      <c r="C50" s="1" t="s">
        <v>4</v>
      </c>
      <c r="D50" s="1" t="s">
        <v>5</v>
      </c>
      <c r="E50" s="1" t="s">
        <v>22</v>
      </c>
      <c r="F50" s="1"/>
      <c r="G50" s="11"/>
    </row>
    <row r="51" spans="2:9">
      <c r="B51" s="9"/>
      <c r="C51" s="1" t="s">
        <v>7</v>
      </c>
      <c r="D51" s="1" t="s">
        <v>5</v>
      </c>
      <c r="E51" s="1" t="s">
        <v>21</v>
      </c>
      <c r="F51" s="1"/>
      <c r="G51" s="11"/>
    </row>
    <row r="52" spans="2:9">
      <c r="B52" s="9"/>
      <c r="C52" s="1" t="s">
        <v>9</v>
      </c>
      <c r="D52" s="1" t="s">
        <v>5</v>
      </c>
      <c r="E52" s="1" t="s">
        <v>23</v>
      </c>
      <c r="F52" s="1"/>
      <c r="G52" s="11"/>
    </row>
    <row r="53" spans="2:9">
      <c r="B53" s="9"/>
      <c r="C53" s="1" t="s">
        <v>11</v>
      </c>
      <c r="D53" s="1" t="s">
        <v>5</v>
      </c>
      <c r="E53" s="1" t="s">
        <v>25</v>
      </c>
      <c r="F53" s="1"/>
      <c r="G53" s="11"/>
    </row>
    <row r="54" spans="2:9">
      <c r="B54" s="12"/>
      <c r="C54" s="13"/>
      <c r="D54" s="13"/>
      <c r="E54" s="13"/>
      <c r="F54" s="13"/>
      <c r="G54" s="14"/>
    </row>
    <row r="55" spans="2:9">
      <c r="B55" s="15"/>
      <c r="C55" s="16"/>
      <c r="D55" s="16"/>
      <c r="E55" s="16" t="s">
        <v>13</v>
      </c>
      <c r="F55" s="16"/>
      <c r="G55" s="17">
        <f>SUM(G44:G54)</f>
        <v>578135.71428571432</v>
      </c>
    </row>
    <row r="56" spans="2:9">
      <c r="B56" s="9"/>
      <c r="C56" s="18">
        <v>0.19</v>
      </c>
      <c r="D56" s="1"/>
      <c r="E56" s="1" t="s">
        <v>14</v>
      </c>
      <c r="F56" s="1"/>
      <c r="G56" s="19">
        <f>G55*C56</f>
        <v>109845.78571428572</v>
      </c>
    </row>
    <row r="57" spans="2:9">
      <c r="B57" s="12"/>
      <c r="C57" s="13"/>
      <c r="D57" s="13"/>
      <c r="E57" s="13" t="s">
        <v>15</v>
      </c>
      <c r="F57" s="13"/>
      <c r="G57" s="20">
        <f>SUM(G55:G56)</f>
        <v>687981.5</v>
      </c>
    </row>
    <row r="60" spans="2:9">
      <c r="B60" s="1" t="s">
        <v>0</v>
      </c>
      <c r="I60" s="19">
        <v>3507211</v>
      </c>
    </row>
    <row r="61" spans="2:9">
      <c r="B61" s="1"/>
      <c r="C61" s="1"/>
      <c r="D61" s="1"/>
      <c r="E61" s="1"/>
      <c r="F61" s="1"/>
      <c r="G61" s="1"/>
    </row>
    <row r="62" spans="2:9">
      <c r="B62" s="3" t="s">
        <v>1</v>
      </c>
      <c r="C62" s="4"/>
      <c r="D62" s="4"/>
      <c r="E62" s="5" t="s">
        <v>2</v>
      </c>
      <c r="F62" s="6"/>
      <c r="G62" s="7"/>
      <c r="I62" s="2">
        <v>1052163</v>
      </c>
    </row>
    <row r="63" spans="2:9" ht="49" customHeight="1">
      <c r="B63" s="31" t="s">
        <v>27</v>
      </c>
      <c r="C63" s="32"/>
      <c r="D63" s="32"/>
      <c r="E63" s="32"/>
      <c r="F63" s="33"/>
      <c r="G63" s="8">
        <f>2623184*0.7</f>
        <v>1836228.7999999998</v>
      </c>
      <c r="I63" s="22">
        <f>I60-I62</f>
        <v>2455048</v>
      </c>
    </row>
    <row r="64" spans="2:9" ht="65" customHeight="1">
      <c r="B64" s="28" t="s">
        <v>26</v>
      </c>
      <c r="C64" s="29"/>
      <c r="D64" s="29"/>
      <c r="E64" s="29"/>
      <c r="F64" s="30"/>
      <c r="G64" s="19">
        <f>324052*0.7</f>
        <v>226836.4</v>
      </c>
      <c r="I64" s="22">
        <f>I63-G76</f>
        <v>0.41200000047683716</v>
      </c>
    </row>
    <row r="65" spans="2:9">
      <c r="B65" s="9"/>
      <c r="C65" s="1"/>
      <c r="D65" s="1"/>
      <c r="E65" s="1"/>
      <c r="F65" s="1"/>
      <c r="G65" s="11"/>
    </row>
    <row r="66" spans="2:9">
      <c r="B66" s="9"/>
      <c r="C66" s="1"/>
      <c r="D66" s="1"/>
      <c r="E66" s="1"/>
      <c r="F66" s="1"/>
      <c r="G66" s="11"/>
    </row>
    <row r="67" spans="2:9">
      <c r="B67" s="9"/>
      <c r="C67" s="1"/>
      <c r="D67" s="1"/>
      <c r="E67" s="1"/>
      <c r="F67" s="1"/>
      <c r="G67" s="11"/>
    </row>
    <row r="68" spans="2:9">
      <c r="B68" s="9"/>
      <c r="C68" s="1"/>
      <c r="D68" s="1"/>
      <c r="E68" s="1"/>
      <c r="F68" s="1"/>
      <c r="G68" s="11"/>
    </row>
    <row r="69" spans="2:9">
      <c r="B69" s="9"/>
      <c r="C69" s="1" t="s">
        <v>4</v>
      </c>
      <c r="D69" s="1" t="s">
        <v>5</v>
      </c>
      <c r="E69" s="1" t="s">
        <v>30</v>
      </c>
      <c r="F69" s="1"/>
      <c r="G69" s="11"/>
    </row>
    <row r="70" spans="2:9">
      <c r="B70" s="9"/>
      <c r="C70" s="1" t="s">
        <v>7</v>
      </c>
      <c r="D70" s="1" t="s">
        <v>5</v>
      </c>
      <c r="E70" s="1" t="s">
        <v>31</v>
      </c>
      <c r="F70" s="1"/>
      <c r="G70" s="11"/>
    </row>
    <row r="71" spans="2:9">
      <c r="B71" s="9"/>
      <c r="C71" s="1" t="s">
        <v>9</v>
      </c>
      <c r="D71" s="1" t="s">
        <v>5</v>
      </c>
      <c r="E71" s="1" t="s">
        <v>28</v>
      </c>
      <c r="F71" s="1"/>
      <c r="G71" s="11"/>
    </row>
    <row r="72" spans="2:9">
      <c r="B72" s="9"/>
      <c r="C72" s="1" t="s">
        <v>11</v>
      </c>
      <c r="D72" s="1" t="s">
        <v>5</v>
      </c>
      <c r="E72" s="1" t="s">
        <v>29</v>
      </c>
      <c r="F72" s="1"/>
      <c r="G72" s="11"/>
    </row>
    <row r="73" spans="2:9">
      <c r="B73" s="12"/>
      <c r="C73" s="13"/>
      <c r="D73" s="13"/>
      <c r="E73" s="13"/>
      <c r="F73" s="13"/>
      <c r="G73" s="14"/>
    </row>
    <row r="74" spans="2:9">
      <c r="B74" s="15"/>
      <c r="C74" s="16"/>
      <c r="D74" s="16"/>
      <c r="E74" s="16" t="s">
        <v>13</v>
      </c>
      <c r="F74" s="16"/>
      <c r="G74" s="17">
        <f>SUM(G63:G73)</f>
        <v>2063065.1999999997</v>
      </c>
      <c r="H74" s="2">
        <v>2063065</v>
      </c>
      <c r="I74" s="22">
        <f>H74-G74</f>
        <v>-0.19999999972060323</v>
      </c>
    </row>
    <row r="75" spans="2:9">
      <c r="B75" s="9"/>
      <c r="C75" s="18">
        <v>0.19</v>
      </c>
      <c r="D75" s="1"/>
      <c r="E75" s="1" t="s">
        <v>14</v>
      </c>
      <c r="F75" s="1"/>
      <c r="G75" s="19">
        <f>G74*C75</f>
        <v>391982.38799999998</v>
      </c>
    </row>
    <row r="76" spans="2:9">
      <c r="B76" s="12"/>
      <c r="C76" s="13"/>
      <c r="D76" s="13"/>
      <c r="E76" s="13" t="s">
        <v>15</v>
      </c>
      <c r="F76" s="13"/>
      <c r="G76" s="20">
        <f>SUM(G74:G75)</f>
        <v>2455047.5879999995</v>
      </c>
    </row>
    <row r="80" spans="2:9">
      <c r="B80" s="1" t="s">
        <v>0</v>
      </c>
      <c r="I80" s="19"/>
    </row>
    <row r="81" spans="2:10">
      <c r="B81" s="1"/>
      <c r="C81" s="1"/>
      <c r="D81" s="1"/>
      <c r="E81" s="1"/>
      <c r="F81" s="1"/>
      <c r="G81" s="1"/>
    </row>
    <row r="82" spans="2:10">
      <c r="B82" s="3" t="s">
        <v>1</v>
      </c>
      <c r="C82" s="4"/>
      <c r="D82" s="4"/>
      <c r="E82" s="5" t="s">
        <v>2</v>
      </c>
      <c r="F82" s="6"/>
      <c r="G82" s="7"/>
    </row>
    <row r="83" spans="2:10" ht="55" customHeight="1">
      <c r="B83" s="31" t="s">
        <v>32</v>
      </c>
      <c r="C83" s="32"/>
      <c r="D83" s="32"/>
      <c r="E83" s="32"/>
      <c r="F83" s="33"/>
      <c r="G83" s="8">
        <f>3643728*0.245796</f>
        <v>895613.76748799998</v>
      </c>
      <c r="I83" s="22">
        <v>5438274</v>
      </c>
    </row>
    <row r="84" spans="2:10" ht="42" customHeight="1">
      <c r="B84" s="28" t="s">
        <v>33</v>
      </c>
      <c r="C84" s="29"/>
      <c r="D84" s="29"/>
      <c r="E84" s="29"/>
      <c r="F84" s="30"/>
      <c r="G84" s="19">
        <f>926250</f>
        <v>926250</v>
      </c>
      <c r="I84" s="22">
        <v>2748144</v>
      </c>
      <c r="J84" s="24">
        <f>G83-I84</f>
        <v>-1852530.232512</v>
      </c>
    </row>
    <row r="85" spans="2:10">
      <c r="B85" s="9"/>
      <c r="C85" s="1"/>
      <c r="D85" s="1"/>
      <c r="E85" s="1"/>
      <c r="F85" s="1"/>
      <c r="G85" s="11"/>
      <c r="I85" s="23">
        <f>I84/G94</f>
        <v>1.5084245315384708</v>
      </c>
      <c r="J85" s="25">
        <f>J84/G83</f>
        <v>-2.0684476944877037</v>
      </c>
    </row>
    <row r="86" spans="2:10">
      <c r="B86" s="9"/>
      <c r="C86" s="1"/>
      <c r="D86" s="1"/>
      <c r="E86" s="1"/>
      <c r="F86" s="1"/>
      <c r="G86" s="11"/>
      <c r="J86" s="2">
        <v>0.24578783048570035</v>
      </c>
    </row>
    <row r="87" spans="2:10">
      <c r="B87" s="9"/>
      <c r="C87" s="1"/>
      <c r="D87" s="1"/>
      <c r="E87" s="1"/>
      <c r="F87" s="1"/>
      <c r="G87" s="11"/>
    </row>
    <row r="88" spans="2:10">
      <c r="B88" s="9"/>
      <c r="C88" s="1"/>
      <c r="D88" s="1"/>
      <c r="E88" s="1"/>
      <c r="F88" s="1"/>
      <c r="G88" s="11"/>
    </row>
    <row r="89" spans="2:10">
      <c r="B89" s="9"/>
      <c r="C89" s="1" t="s">
        <v>4</v>
      </c>
      <c r="D89" s="1" t="s">
        <v>5</v>
      </c>
      <c r="E89" s="1" t="s">
        <v>30</v>
      </c>
      <c r="F89" s="1"/>
      <c r="G89" s="11"/>
    </row>
    <row r="90" spans="2:10">
      <c r="B90" s="9"/>
      <c r="C90" s="1" t="s">
        <v>7</v>
      </c>
      <c r="D90" s="1" t="s">
        <v>5</v>
      </c>
      <c r="E90" s="1" t="s">
        <v>31</v>
      </c>
      <c r="F90" s="1"/>
      <c r="G90" s="11"/>
    </row>
    <row r="91" spans="2:10">
      <c r="B91" s="9"/>
      <c r="C91" s="1" t="s">
        <v>9</v>
      </c>
      <c r="D91" s="1" t="s">
        <v>5</v>
      </c>
      <c r="E91" s="1" t="s">
        <v>28</v>
      </c>
      <c r="F91" s="1"/>
      <c r="G91" s="11"/>
    </row>
    <row r="92" spans="2:10">
      <c r="B92" s="9"/>
      <c r="C92" s="1" t="s">
        <v>11</v>
      </c>
      <c r="D92" s="1" t="s">
        <v>5</v>
      </c>
      <c r="E92" s="1" t="s">
        <v>29</v>
      </c>
      <c r="F92" s="1"/>
      <c r="G92" s="11"/>
    </row>
    <row r="93" spans="2:10">
      <c r="B93" s="12"/>
      <c r="C93" s="13"/>
      <c r="D93" s="13"/>
      <c r="E93" s="13"/>
      <c r="F93" s="13"/>
      <c r="G93" s="14"/>
    </row>
    <row r="94" spans="2:10">
      <c r="B94" s="15"/>
      <c r="C94" s="16"/>
      <c r="D94" s="16"/>
      <c r="E94" s="16" t="s">
        <v>13</v>
      </c>
      <c r="F94" s="16"/>
      <c r="G94" s="17">
        <f>SUM(G83:G93)</f>
        <v>1821863.767488</v>
      </c>
      <c r="H94" s="2">
        <v>2063065</v>
      </c>
      <c r="I94" s="22">
        <f>H94-G94</f>
        <v>241201.23251200002</v>
      </c>
    </row>
    <row r="95" spans="2:10">
      <c r="B95" s="9"/>
      <c r="C95" s="18">
        <v>0.19</v>
      </c>
      <c r="D95" s="1"/>
      <c r="E95" s="1" t="s">
        <v>14</v>
      </c>
      <c r="F95" s="1"/>
      <c r="G95" s="19">
        <f>G94*C95</f>
        <v>346154.11582271999</v>
      </c>
    </row>
    <row r="96" spans="2:10">
      <c r="B96" s="12"/>
      <c r="C96" s="13"/>
      <c r="D96" s="13"/>
      <c r="E96" s="13" t="s">
        <v>15</v>
      </c>
      <c r="F96" s="13"/>
      <c r="G96" s="20">
        <f>SUM(G94:G95)</f>
        <v>2168017.8833107199</v>
      </c>
    </row>
    <row r="100" spans="2:9">
      <c r="B100" s="1" t="s">
        <v>0</v>
      </c>
    </row>
    <row r="101" spans="2:9">
      <c r="B101" s="1"/>
      <c r="C101" s="1"/>
      <c r="D101" s="1"/>
      <c r="E101" s="1"/>
      <c r="F101" s="1"/>
      <c r="G101" s="1"/>
    </row>
    <row r="102" spans="2:9">
      <c r="B102" s="3" t="s">
        <v>1</v>
      </c>
      <c r="C102" s="4"/>
      <c r="D102" s="4"/>
      <c r="E102" s="5" t="s">
        <v>2</v>
      </c>
      <c r="F102" s="6"/>
      <c r="G102" s="7"/>
    </row>
    <row r="103" spans="2:9" ht="31" customHeight="1">
      <c r="B103" s="31" t="s">
        <v>34</v>
      </c>
      <c r="C103" s="32"/>
      <c r="D103" s="32"/>
      <c r="E103" s="32"/>
      <c r="F103" s="33"/>
      <c r="G103" s="8">
        <f>I103*0.3</f>
        <v>1747518.5999999999</v>
      </c>
      <c r="I103" s="8">
        <v>5825062</v>
      </c>
    </row>
    <row r="104" spans="2:9">
      <c r="B104" s="28"/>
      <c r="C104" s="29"/>
      <c r="D104" s="29"/>
      <c r="E104" s="29"/>
      <c r="F104" s="30"/>
      <c r="G104" s="19"/>
    </row>
    <row r="105" spans="2:9">
      <c r="B105" s="9"/>
      <c r="C105" s="1"/>
      <c r="D105" s="1"/>
      <c r="E105" s="1"/>
      <c r="F105" s="1"/>
      <c r="G105" s="11"/>
    </row>
    <row r="106" spans="2:9">
      <c r="B106" s="9"/>
      <c r="C106" s="1"/>
      <c r="D106" s="1"/>
      <c r="E106" s="1"/>
      <c r="F106" s="1"/>
      <c r="G106" s="11"/>
    </row>
    <row r="107" spans="2:9">
      <c r="B107" s="9"/>
      <c r="C107" s="1"/>
      <c r="D107" s="1"/>
      <c r="E107" s="1"/>
      <c r="F107" s="1"/>
      <c r="G107" s="11"/>
    </row>
    <row r="108" spans="2:9">
      <c r="B108" s="9"/>
      <c r="C108" s="1"/>
      <c r="D108" s="1"/>
      <c r="E108" s="1"/>
      <c r="F108" s="1"/>
      <c r="G108" s="11"/>
    </row>
    <row r="109" spans="2:9">
      <c r="B109" s="9"/>
      <c r="C109" s="1" t="s">
        <v>4</v>
      </c>
      <c r="D109" s="1" t="s">
        <v>5</v>
      </c>
      <c r="E109" s="1" t="s">
        <v>35</v>
      </c>
      <c r="F109" s="1"/>
      <c r="G109" s="11"/>
    </row>
    <row r="110" spans="2:9">
      <c r="B110" s="9"/>
      <c r="C110" s="1" t="s">
        <v>7</v>
      </c>
      <c r="D110" s="1" t="s">
        <v>5</v>
      </c>
      <c r="E110" s="1" t="s">
        <v>36</v>
      </c>
      <c r="F110" s="1"/>
      <c r="G110" s="11"/>
    </row>
    <row r="111" spans="2:9">
      <c r="B111" s="9"/>
      <c r="C111" s="1" t="s">
        <v>9</v>
      </c>
      <c r="D111" s="1" t="s">
        <v>5</v>
      </c>
      <c r="E111" s="1" t="s">
        <v>37</v>
      </c>
      <c r="F111" s="1"/>
      <c r="G111" s="11"/>
    </row>
    <row r="112" spans="2:9">
      <c r="B112" s="9"/>
      <c r="C112" s="1" t="s">
        <v>11</v>
      </c>
      <c r="D112" s="1" t="s">
        <v>5</v>
      </c>
      <c r="E112" s="1"/>
      <c r="F112" s="1"/>
      <c r="G112" s="11"/>
    </row>
    <row r="113" spans="2:9">
      <c r="B113" s="12"/>
      <c r="C113" s="13"/>
      <c r="D113" s="13"/>
      <c r="E113" s="13"/>
      <c r="F113" s="13"/>
      <c r="G113" s="14"/>
    </row>
    <row r="114" spans="2:9">
      <c r="B114" s="15"/>
      <c r="C114" s="16"/>
      <c r="D114" s="16"/>
      <c r="E114" s="16" t="s">
        <v>13</v>
      </c>
      <c r="F114" s="16"/>
      <c r="G114" s="17">
        <f>SUM(G103:G113)</f>
        <v>1747518.5999999999</v>
      </c>
    </row>
    <row r="115" spans="2:9">
      <c r="B115" s="9"/>
      <c r="C115" s="18">
        <v>0.19</v>
      </c>
      <c r="D115" s="1"/>
      <c r="E115" s="1" t="s">
        <v>14</v>
      </c>
      <c r="F115" s="1"/>
      <c r="G115" s="19">
        <f>G114*C115</f>
        <v>332028.53399999999</v>
      </c>
    </row>
    <row r="116" spans="2:9">
      <c r="B116" s="12"/>
      <c r="C116" s="13"/>
      <c r="D116" s="13"/>
      <c r="E116" s="13" t="s">
        <v>15</v>
      </c>
      <c r="F116" s="13"/>
      <c r="G116" s="20">
        <f>SUM(G114:G115)</f>
        <v>2079547.1339999998</v>
      </c>
    </row>
    <row r="119" spans="2:9">
      <c r="B119" s="1" t="s">
        <v>0</v>
      </c>
    </row>
    <row r="120" spans="2:9">
      <c r="B120" s="1"/>
      <c r="C120" s="1"/>
      <c r="D120" s="1"/>
      <c r="E120" s="1"/>
      <c r="F120" s="1"/>
      <c r="G120" s="1"/>
    </row>
    <row r="121" spans="2:9">
      <c r="B121" s="3" t="s">
        <v>1</v>
      </c>
      <c r="C121" s="4"/>
      <c r="D121" s="4"/>
      <c r="E121" s="5" t="s">
        <v>2</v>
      </c>
      <c r="F121" s="6"/>
      <c r="G121" s="7"/>
    </row>
    <row r="122" spans="2:9" ht="40" customHeight="1">
      <c r="B122" s="31" t="s">
        <v>40</v>
      </c>
      <c r="C122" s="32"/>
      <c r="D122" s="32"/>
      <c r="E122" s="32"/>
      <c r="F122" s="33"/>
      <c r="G122" s="8">
        <f>I122</f>
        <v>816896</v>
      </c>
      <c r="I122" s="8">
        <v>816896</v>
      </c>
    </row>
    <row r="123" spans="2:9">
      <c r="B123" s="28"/>
      <c r="C123" s="29"/>
      <c r="D123" s="29"/>
      <c r="E123" s="29"/>
      <c r="F123" s="30"/>
      <c r="G123" s="19"/>
    </row>
    <row r="124" spans="2:9">
      <c r="B124" s="9"/>
      <c r="C124" s="1"/>
      <c r="D124" s="1"/>
      <c r="E124" s="1"/>
      <c r="F124" s="1"/>
      <c r="G124" s="11"/>
    </row>
    <row r="125" spans="2:9">
      <c r="B125" s="9"/>
      <c r="C125" s="1"/>
      <c r="D125" s="1"/>
      <c r="E125" s="1"/>
      <c r="F125" s="1"/>
      <c r="G125" s="11"/>
    </row>
    <row r="126" spans="2:9">
      <c r="B126" s="9"/>
      <c r="C126" s="1"/>
      <c r="D126" s="1"/>
      <c r="E126" s="1"/>
      <c r="F126" s="1"/>
      <c r="G126" s="11"/>
    </row>
    <row r="127" spans="2:9">
      <c r="B127" s="9"/>
      <c r="C127" s="1"/>
      <c r="D127" s="1"/>
      <c r="E127" s="1"/>
      <c r="F127" s="1"/>
      <c r="G127" s="11"/>
    </row>
    <row r="128" spans="2:9">
      <c r="B128" s="9"/>
      <c r="C128" s="1" t="s">
        <v>4</v>
      </c>
      <c r="D128" s="1" t="s">
        <v>5</v>
      </c>
      <c r="E128" s="1" t="s">
        <v>39</v>
      </c>
      <c r="F128" s="1"/>
      <c r="G128" s="11"/>
    </row>
    <row r="129" spans="2:10">
      <c r="B129" s="9"/>
      <c r="C129" s="1" t="s">
        <v>7</v>
      </c>
      <c r="D129" s="1" t="s">
        <v>5</v>
      </c>
      <c r="E129" s="1" t="s">
        <v>38</v>
      </c>
      <c r="F129" s="1"/>
      <c r="G129" s="11"/>
    </row>
    <row r="130" spans="2:10">
      <c r="B130" s="9"/>
      <c r="C130" s="1" t="s">
        <v>9</v>
      </c>
      <c r="D130" s="1" t="s">
        <v>5</v>
      </c>
      <c r="E130" s="1" t="s">
        <v>41</v>
      </c>
      <c r="F130" s="1"/>
      <c r="G130" s="11"/>
    </row>
    <row r="131" spans="2:10">
      <c r="B131" s="9"/>
      <c r="C131" s="1"/>
      <c r="D131" s="1"/>
      <c r="E131" s="1"/>
      <c r="F131" s="1"/>
      <c r="G131" s="11"/>
    </row>
    <row r="132" spans="2:10">
      <c r="B132" s="12"/>
      <c r="C132" s="13"/>
      <c r="D132" s="13"/>
      <c r="E132" s="13"/>
      <c r="F132" s="13"/>
      <c r="G132" s="14"/>
    </row>
    <row r="133" spans="2:10">
      <c r="B133" s="15"/>
      <c r="C133" s="16"/>
      <c r="D133" s="16"/>
      <c r="E133" s="16" t="s">
        <v>13</v>
      </c>
      <c r="F133" s="16"/>
      <c r="G133" s="17">
        <f>SUM(G122:G132)</f>
        <v>816896</v>
      </c>
    </row>
    <row r="134" spans="2:10">
      <c r="B134" s="9"/>
      <c r="C134" s="18"/>
      <c r="D134" s="1"/>
      <c r="E134" s="1" t="s">
        <v>14</v>
      </c>
      <c r="F134" s="1"/>
      <c r="G134" s="19">
        <f>G133*C134</f>
        <v>0</v>
      </c>
    </row>
    <row r="135" spans="2:10">
      <c r="B135" s="12"/>
      <c r="C135" s="13"/>
      <c r="D135" s="13"/>
      <c r="E135" s="13" t="s">
        <v>15</v>
      </c>
      <c r="F135" s="13"/>
      <c r="G135" s="20">
        <f>SUM(G133:G134)</f>
        <v>816896</v>
      </c>
    </row>
    <row r="138" spans="2:10">
      <c r="B138" s="1" t="s">
        <v>0</v>
      </c>
      <c r="I138" s="19"/>
    </row>
    <row r="139" spans="2:10">
      <c r="B139" s="1"/>
      <c r="C139" s="1"/>
      <c r="D139" s="1"/>
      <c r="E139" s="1"/>
      <c r="F139" s="1"/>
      <c r="G139" s="1"/>
    </row>
    <row r="140" spans="2:10">
      <c r="B140" s="3" t="s">
        <v>1</v>
      </c>
      <c r="C140" s="4"/>
      <c r="D140" s="4"/>
      <c r="E140" s="5" t="s">
        <v>2</v>
      </c>
      <c r="F140" s="6"/>
      <c r="G140" s="7"/>
    </row>
    <row r="141" spans="2:10" ht="31" customHeight="1">
      <c r="B141" s="31" t="s">
        <v>42</v>
      </c>
      <c r="C141" s="32"/>
      <c r="D141" s="32"/>
      <c r="E141" s="32"/>
      <c r="F141" s="33"/>
      <c r="G141" s="8">
        <f>I141*0.5</f>
        <v>4417548.5</v>
      </c>
      <c r="I141" s="22">
        <v>8835097</v>
      </c>
    </row>
    <row r="142" spans="2:10" ht="31" customHeight="1">
      <c r="B142" s="28" t="s">
        <v>43</v>
      </c>
      <c r="C142" s="29"/>
      <c r="D142" s="29"/>
      <c r="E142" s="29"/>
      <c r="F142" s="30"/>
      <c r="G142" s="27">
        <f t="shared" ref="G142:G143" si="0">I142*0.5</f>
        <v>259686</v>
      </c>
      <c r="I142" s="22">
        <v>519372</v>
      </c>
      <c r="J142" s="26"/>
    </row>
    <row r="143" spans="2:10" ht="31" customHeight="1">
      <c r="B143" s="28" t="s">
        <v>44</v>
      </c>
      <c r="C143" s="29"/>
      <c r="D143" s="29"/>
      <c r="E143" s="29"/>
      <c r="F143" s="30"/>
      <c r="G143" s="27">
        <f t="shared" si="0"/>
        <v>143372</v>
      </c>
      <c r="I143" s="22">
        <v>286744</v>
      </c>
    </row>
    <row r="144" spans="2:10">
      <c r="B144" s="9"/>
      <c r="C144" s="1"/>
      <c r="D144" s="1"/>
      <c r="E144" s="1"/>
      <c r="F144" s="1"/>
      <c r="G144" s="11"/>
    </row>
    <row r="145" spans="2:9">
      <c r="B145" s="9"/>
      <c r="C145" s="1"/>
      <c r="D145" s="1"/>
      <c r="E145" s="1"/>
      <c r="F145" s="1"/>
      <c r="G145" s="11"/>
    </row>
    <row r="146" spans="2:9">
      <c r="B146" s="9"/>
      <c r="C146" s="1"/>
      <c r="D146" s="1"/>
      <c r="E146" s="1"/>
      <c r="F146" s="1"/>
      <c r="G146" s="11"/>
    </row>
    <row r="147" spans="2:9">
      <c r="B147" s="9"/>
      <c r="C147" s="1" t="s">
        <v>4</v>
      </c>
      <c r="D147" s="1" t="s">
        <v>5</v>
      </c>
      <c r="E147" s="1" t="s">
        <v>30</v>
      </c>
      <c r="F147" s="1"/>
      <c r="G147" s="11"/>
    </row>
    <row r="148" spans="2:9">
      <c r="B148" s="9"/>
      <c r="C148" s="1" t="s">
        <v>7</v>
      </c>
      <c r="D148" s="1" t="s">
        <v>5</v>
      </c>
      <c r="E148" s="1" t="s">
        <v>46</v>
      </c>
      <c r="F148" s="1"/>
      <c r="G148" s="11"/>
    </row>
    <row r="149" spans="2:9">
      <c r="B149" s="9"/>
      <c r="C149" s="1" t="s">
        <v>9</v>
      </c>
      <c r="D149" s="1" t="s">
        <v>5</v>
      </c>
      <c r="E149" s="1" t="s">
        <v>37</v>
      </c>
      <c r="F149" s="1"/>
      <c r="G149" s="11"/>
    </row>
    <row r="150" spans="2:9">
      <c r="B150" s="9"/>
      <c r="C150" s="1" t="s">
        <v>11</v>
      </c>
      <c r="D150" s="1" t="s">
        <v>5</v>
      </c>
      <c r="E150" s="1" t="s">
        <v>45</v>
      </c>
      <c r="F150" s="1"/>
      <c r="G150" s="11"/>
    </row>
    <row r="151" spans="2:9">
      <c r="B151" s="12"/>
      <c r="C151" s="13"/>
      <c r="D151" s="13"/>
      <c r="E151" s="13"/>
      <c r="F151" s="13"/>
      <c r="G151" s="14"/>
    </row>
    <row r="152" spans="2:9">
      <c r="B152" s="15"/>
      <c r="C152" s="16"/>
      <c r="D152" s="16"/>
      <c r="E152" s="16" t="s">
        <v>13</v>
      </c>
      <c r="F152" s="16"/>
      <c r="G152" s="17">
        <f>SUM(G141:G151)</f>
        <v>4820606.5</v>
      </c>
      <c r="H152" s="2">
        <v>2063065</v>
      </c>
      <c r="I152" s="22">
        <f>H152-G152</f>
        <v>-2757541.5</v>
      </c>
    </row>
    <row r="153" spans="2:9">
      <c r="B153" s="9"/>
      <c r="C153" s="18">
        <v>0.19</v>
      </c>
      <c r="D153" s="1"/>
      <c r="E153" s="1" t="s">
        <v>14</v>
      </c>
      <c r="F153" s="1"/>
      <c r="G153" s="19">
        <f>G152*C153</f>
        <v>915915.23499999999</v>
      </c>
    </row>
    <row r="154" spans="2:9">
      <c r="B154" s="12"/>
      <c r="C154" s="13"/>
      <c r="D154" s="13"/>
      <c r="E154" s="13" t="s">
        <v>15</v>
      </c>
      <c r="F154" s="13"/>
      <c r="G154" s="20">
        <f>SUM(G152:G153)</f>
        <v>5736521.7350000003</v>
      </c>
    </row>
    <row r="157" spans="2:9">
      <c r="B157" s="1" t="s">
        <v>0</v>
      </c>
    </row>
    <row r="158" spans="2:9">
      <c r="B158" s="1"/>
      <c r="C158" s="1"/>
      <c r="D158" s="1"/>
      <c r="E158" s="1"/>
      <c r="F158" s="1"/>
      <c r="G158" s="1"/>
    </row>
    <row r="159" spans="2:9">
      <c r="B159" s="3" t="s">
        <v>1</v>
      </c>
      <c r="C159" s="4"/>
      <c r="D159" s="4"/>
      <c r="E159" s="5" t="s">
        <v>2</v>
      </c>
      <c r="F159" s="6"/>
      <c r="G159" s="7"/>
    </row>
    <row r="160" spans="2:9" ht="36" customHeight="1">
      <c r="B160" s="31" t="s">
        <v>47</v>
      </c>
      <c r="C160" s="32"/>
      <c r="D160" s="32"/>
      <c r="E160" s="32"/>
      <c r="F160" s="33"/>
      <c r="G160" s="8">
        <f>I160*0.6</f>
        <v>2450687.4</v>
      </c>
      <c r="I160" s="17">
        <v>4084479</v>
      </c>
    </row>
    <row r="161" spans="2:7">
      <c r="B161" s="9"/>
      <c r="C161" s="1"/>
      <c r="G161" s="10"/>
    </row>
    <row r="162" spans="2:7">
      <c r="B162" s="9"/>
      <c r="C162" s="1"/>
      <c r="D162" s="1"/>
      <c r="E162" s="1"/>
      <c r="F162" s="1"/>
      <c r="G162" s="11"/>
    </row>
    <row r="163" spans="2:7">
      <c r="B163" s="9"/>
      <c r="C163" s="1"/>
      <c r="D163" s="1"/>
      <c r="E163" s="1"/>
      <c r="F163" s="1"/>
      <c r="G163" s="11"/>
    </row>
    <row r="164" spans="2:7">
      <c r="B164" s="9"/>
      <c r="C164" s="1"/>
      <c r="D164" s="1"/>
      <c r="E164" s="1"/>
      <c r="F164" s="1"/>
      <c r="G164" s="11"/>
    </row>
    <row r="165" spans="2:7">
      <c r="B165" s="9"/>
      <c r="C165" s="1"/>
      <c r="D165" s="1"/>
      <c r="E165" s="1"/>
      <c r="F165" s="1"/>
      <c r="G165" s="11"/>
    </row>
    <row r="166" spans="2:7">
      <c r="B166" s="9"/>
      <c r="C166" s="1" t="s">
        <v>4</v>
      </c>
      <c r="D166" s="1" t="s">
        <v>5</v>
      </c>
      <c r="E166" s="1" t="s">
        <v>6</v>
      </c>
      <c r="F166" s="1"/>
      <c r="G166" s="11"/>
    </row>
    <row r="167" spans="2:7">
      <c r="B167" s="9"/>
      <c r="C167" s="1" t="s">
        <v>7</v>
      </c>
      <c r="D167" s="1" t="s">
        <v>5</v>
      </c>
      <c r="E167" s="1" t="s">
        <v>48</v>
      </c>
      <c r="F167" s="1"/>
      <c r="G167" s="11"/>
    </row>
    <row r="168" spans="2:7">
      <c r="B168" s="9"/>
      <c r="C168" s="1" t="s">
        <v>9</v>
      </c>
      <c r="D168" s="1" t="s">
        <v>5</v>
      </c>
      <c r="E168" s="1" t="s">
        <v>37</v>
      </c>
      <c r="F168" s="1"/>
      <c r="G168" s="11"/>
    </row>
    <row r="169" spans="2:7">
      <c r="B169" s="9"/>
      <c r="C169" s="1" t="s">
        <v>11</v>
      </c>
      <c r="D169" s="1" t="s">
        <v>5</v>
      </c>
      <c r="E169" s="1"/>
      <c r="F169" s="1"/>
      <c r="G169" s="11"/>
    </row>
    <row r="170" spans="2:7">
      <c r="B170" s="12"/>
      <c r="C170" s="13"/>
      <c r="D170" s="13"/>
      <c r="E170" s="13"/>
      <c r="F170" s="13"/>
      <c r="G170" s="14"/>
    </row>
    <row r="171" spans="2:7">
      <c r="B171" s="15"/>
      <c r="C171" s="16"/>
      <c r="D171" s="16"/>
      <c r="E171" s="16" t="s">
        <v>13</v>
      </c>
      <c r="F171" s="16"/>
      <c r="G171" s="17">
        <f>SUM(G160:G170)</f>
        <v>2450687.4</v>
      </c>
    </row>
    <row r="172" spans="2:7">
      <c r="B172" s="9"/>
      <c r="C172" s="18">
        <v>0.19</v>
      </c>
      <c r="D172" s="1"/>
      <c r="E172" s="1" t="s">
        <v>14</v>
      </c>
      <c r="F172" s="1"/>
      <c r="G172" s="19"/>
    </row>
    <row r="173" spans="2:7">
      <c r="B173" s="12"/>
      <c r="C173" s="13"/>
      <c r="D173" s="13"/>
      <c r="E173" s="13" t="s">
        <v>15</v>
      </c>
      <c r="F173" s="13"/>
      <c r="G173" s="20">
        <f>SUM(G171:G172)</f>
        <v>2450687.4</v>
      </c>
    </row>
  </sheetData>
  <mergeCells count="15">
    <mergeCell ref="B160:F160"/>
    <mergeCell ref="B83:F83"/>
    <mergeCell ref="B84:F84"/>
    <mergeCell ref="B5:F5"/>
    <mergeCell ref="B25:F25"/>
    <mergeCell ref="B44:F44"/>
    <mergeCell ref="B63:F63"/>
    <mergeCell ref="B64:F64"/>
    <mergeCell ref="B142:F142"/>
    <mergeCell ref="B143:F143"/>
    <mergeCell ref="B103:F103"/>
    <mergeCell ref="B104:F104"/>
    <mergeCell ref="B122:F122"/>
    <mergeCell ref="B123:F123"/>
    <mergeCell ref="B141:F1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Rodrigo Horta Jaque</dc:creator>
  <cp:lastModifiedBy>Felipe Rodrigo Horta Jaque</cp:lastModifiedBy>
  <dcterms:created xsi:type="dcterms:W3CDTF">2026-07-20T15:24:52Z</dcterms:created>
  <dcterms:modified xsi:type="dcterms:W3CDTF">2026-08-05T19:09:48Z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0653c8-e0a6-47f4-adf8-01034877a8f2_Enabled">
    <vt:lpwstr>true</vt:lpwstr>
  </property>
  <property fmtid="{D5CDD505-2E9C-101B-9397-08002B2CF9AE}" pid="3" name="MSIP_Label_0e0653c8-e0a6-47f4-adf8-01034877a8f2_SetDate">
    <vt:lpwstr>2026-07-20T15:25:20Z</vt:lpwstr>
  </property>
  <property fmtid="{D5CDD505-2E9C-101B-9397-08002B2CF9AE}" pid="4" name="MSIP_Label_0e0653c8-e0a6-47f4-adf8-01034877a8f2_Method">
    <vt:lpwstr>Standard</vt:lpwstr>
  </property>
  <property fmtid="{D5CDD505-2E9C-101B-9397-08002B2CF9AE}" pid="5" name="MSIP_Label_0e0653c8-e0a6-47f4-adf8-01034877a8f2_Name">
    <vt:lpwstr>Internal</vt:lpwstr>
  </property>
  <property fmtid="{D5CDD505-2E9C-101B-9397-08002B2CF9AE}" pid="6" name="MSIP_Label_0e0653c8-e0a6-47f4-adf8-01034877a8f2_SiteId">
    <vt:lpwstr>06d2dc82-6fed-4d3b-9218-37d34fb0405b</vt:lpwstr>
  </property>
  <property fmtid="{D5CDD505-2E9C-101B-9397-08002B2CF9AE}" pid="7" name="MSIP_Label_0e0653c8-e0a6-47f4-adf8-01034877a8f2_ActionId">
    <vt:lpwstr>db223bde-2fa8-47d4-8d4d-f0bf99eb07fd</vt:lpwstr>
  </property>
  <property fmtid="{D5CDD505-2E9C-101B-9397-08002B2CF9AE}" pid="8" name="MSIP_Label_0e0653c8-e0a6-47f4-adf8-01034877a8f2_ContentBits">
    <vt:lpwstr>0</vt:lpwstr>
  </property>
  <property fmtid="{D5CDD505-2E9C-101B-9397-08002B2CF9AE}" pid="9" name="MSIP_Label_0e0653c8-e0a6-47f4-adf8-01034877a8f2_Tag">
    <vt:lpwstr>50, 3, 0, 1</vt:lpwstr>
  </property>
</Properties>
</file>